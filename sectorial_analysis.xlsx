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y\Downloads\coding\mini_project_4th_year\"/>
    </mc:Choice>
  </mc:AlternateContent>
  <xr:revisionPtr revIDLastSave="0" documentId="13_ncr:1_{A03A01B2-F46B-4AE4-98BC-2A14EC47D824}" xr6:coauthVersionLast="47" xr6:coauthVersionMax="47" xr10:uidLastSave="{00000000-0000-0000-0000-000000000000}"/>
  <bookViews>
    <workbookView xWindow="-108" yWindow="-108" windowWidth="23256" windowHeight="12456" xr2:uid="{C9E3E9E2-1051-44E2-AA34-62A13117E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2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21" i="1"/>
</calcChain>
</file>

<file path=xl/sharedStrings.xml><?xml version="1.0" encoding="utf-8"?>
<sst xmlns="http://schemas.openxmlformats.org/spreadsheetml/2006/main" count="22" uniqueCount="22">
  <si>
    <t>Sector</t>
  </si>
  <si>
    <t>Agriculture and Allied Activities</t>
  </si>
  <si>
    <t>Transport Operators</t>
  </si>
  <si>
    <t>Computer Software</t>
  </si>
  <si>
    <t>Tourism, Hotels and Restaurants</t>
  </si>
  <si>
    <t>Shipping</t>
  </si>
  <si>
    <t>Aviation</t>
  </si>
  <si>
    <t>Professional Services</t>
  </si>
  <si>
    <t>Commercial Real Estate</t>
  </si>
  <si>
    <t>Education</t>
  </si>
  <si>
    <t>Housing</t>
  </si>
  <si>
    <t>Export Credit</t>
  </si>
  <si>
    <t>Housing Finance Companies (HFCs)</t>
  </si>
  <si>
    <t>Public Financial Institutions (PFIs)</t>
  </si>
  <si>
    <t>Wholesale Trade</t>
  </si>
  <si>
    <t>Retail Trade</t>
  </si>
  <si>
    <t>Consumer Durables</t>
  </si>
  <si>
    <t>Renewable Energy</t>
  </si>
  <si>
    <t>Healthcare</t>
  </si>
  <si>
    <t>RBI_outstanding loan</t>
  </si>
  <si>
    <t>Score1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</si>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</sst>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06D7-1327-4B27-B3E5-B493CA8A3EAD}">
  <dimension ref="A1:D21"/>
  <sheetViews>
    <sheetView tabSelected="1" workbookViewId="0">
      <selection activeCell="D1" sqref="D1"/>
    </sheetView>
  </sheetViews>
  <sheetFormatPr defaultRowHeight="14.4" x14ac:dyDescent="0.3"/>
  <cols>
    <col min="1" max="1" width="29.6640625" bestFit="1" customWidth="1"/>
    <col min="2" max="2" width="19.21875" bestFit="1" customWidth="1"/>
    <col min="3" max="3" width="15.6640625" bestFit="1" customWidth="1"/>
    <col min="4" max="4" width="12.5546875" style="2" bestFit="1" customWidth="1"/>
  </cols>
  <sheetData>
    <row r="1" spans="1:4" x14ac:dyDescent="0.3">
      <c r="A1" s="1" t="s">
        <v>0</v>
      </c>
      <c r="B1" s="3" t="s">
        <v>19</v>
      </c>
      <c r="C1" s="3" t="s">
        <v>20</v>
      </c>
      <c r="D1" s="4" t="s">
        <v>21</v>
      </c>
    </row>
    <row r="2" spans="1:4" x14ac:dyDescent="0.3">
      <c r="A2" t="s">
        <v>1</v>
      </c>
      <c r="B2" s="2">
        <v>2313845.0663729999</v>
      </c>
      <c r="C2" s="2">
        <f>B2/$B$21*275</f>
        <v>98.629989048049495</v>
      </c>
      <c r="D2" s="2">
        <f>B2/$B$2*100</f>
        <v>100</v>
      </c>
    </row>
    <row r="3" spans="1:4" x14ac:dyDescent="0.3">
      <c r="A3" t="s">
        <v>2</v>
      </c>
      <c r="B3" s="2">
        <v>265924.32661699998</v>
      </c>
      <c r="C3" s="2">
        <f t="shared" ref="C3:C19" si="0">B3/$B$21*275</f>
        <v>11.335293707870319</v>
      </c>
      <c r="D3" s="2">
        <f t="shared" ref="D3:D19" si="1">B3/$B$2*100</f>
        <v>11.492745581009963</v>
      </c>
    </row>
    <row r="4" spans="1:4" x14ac:dyDescent="0.3">
      <c r="A4" t="s">
        <v>3</v>
      </c>
      <c r="B4" s="2">
        <v>36578.893236000004</v>
      </c>
      <c r="C4" s="2">
        <f t="shared" si="0"/>
        <v>1.5592123654639138</v>
      </c>
      <c r="D4" s="2">
        <f t="shared" si="1"/>
        <v>1.5808704639562656</v>
      </c>
    </row>
    <row r="5" spans="1:4" x14ac:dyDescent="0.3">
      <c r="A5" t="s">
        <v>4</v>
      </c>
      <c r="B5" s="2">
        <v>85458.312789999996</v>
      </c>
      <c r="C5" s="2">
        <f t="shared" si="0"/>
        <v>3.6427471212472891</v>
      </c>
      <c r="D5" s="2">
        <f t="shared" si="1"/>
        <v>3.6933463710237815</v>
      </c>
    </row>
    <row r="6" spans="1:4" x14ac:dyDescent="0.3">
      <c r="A6" t="s">
        <v>5</v>
      </c>
      <c r="B6" s="2">
        <v>8726.52</v>
      </c>
      <c r="C6" s="2">
        <f t="shared" si="0"/>
        <v>0.37197675183012341</v>
      </c>
      <c r="D6" s="2">
        <f t="shared" si="1"/>
        <v>0.37714366129444449</v>
      </c>
    </row>
    <row r="7" spans="1:4" x14ac:dyDescent="0.3">
      <c r="A7" t="s">
        <v>6</v>
      </c>
      <c r="B7" s="2">
        <v>45212.75</v>
      </c>
      <c r="C7" s="2">
        <f t="shared" si="0"/>
        <v>1.9272392530249645</v>
      </c>
      <c r="D7" s="2">
        <f t="shared" si="1"/>
        <v>1.954009395748866</v>
      </c>
    </row>
    <row r="8" spans="1:4" x14ac:dyDescent="0.3">
      <c r="A8" t="s">
        <v>7</v>
      </c>
      <c r="B8" s="2">
        <v>194935.10375099999</v>
      </c>
      <c r="C8" s="2">
        <f t="shared" si="0"/>
        <v>8.3093061966242079</v>
      </c>
      <c r="D8" s="2">
        <f t="shared" si="1"/>
        <v>8.4247258636277156</v>
      </c>
    </row>
    <row r="9" spans="1:4" x14ac:dyDescent="0.3">
      <c r="A9" t="s">
        <v>8</v>
      </c>
      <c r="B9" s="2">
        <v>560513.54547000001</v>
      </c>
      <c r="C9" s="2">
        <f t="shared" si="0"/>
        <v>23.892457474539309</v>
      </c>
      <c r="D9" s="2">
        <f t="shared" si="1"/>
        <v>24.224333496478074</v>
      </c>
    </row>
    <row r="10" spans="1:4" x14ac:dyDescent="0.3">
      <c r="A10" t="s">
        <v>9</v>
      </c>
      <c r="B10" s="2">
        <v>141536.84560900001</v>
      </c>
      <c r="C10" s="2">
        <f t="shared" si="0"/>
        <v>6.0331513700670474</v>
      </c>
      <c r="D10" s="2">
        <f t="shared" si="1"/>
        <v>6.1169543140959712</v>
      </c>
    </row>
    <row r="11" spans="1:4" x14ac:dyDescent="0.3">
      <c r="A11" t="s">
        <v>10</v>
      </c>
      <c r="B11" s="2">
        <v>940427.48029400001</v>
      </c>
      <c r="C11" s="2">
        <f t="shared" si="0"/>
        <v>40.086673662760127</v>
      </c>
      <c r="D11" s="2">
        <f t="shared" si="1"/>
        <v>40.643493981562891</v>
      </c>
    </row>
    <row r="12" spans="1:4" x14ac:dyDescent="0.3">
      <c r="A12" t="s">
        <v>11</v>
      </c>
      <c r="B12" s="2">
        <v>12875.468953</v>
      </c>
      <c r="C12" s="2">
        <f t="shared" si="0"/>
        <v>0.54882990234670181</v>
      </c>
      <c r="D12" s="2">
        <f t="shared" si="1"/>
        <v>0.55645337452012567</v>
      </c>
    </row>
    <row r="13" spans="1:4" x14ac:dyDescent="0.3">
      <c r="A13" t="s">
        <v>12</v>
      </c>
      <c r="B13" s="2">
        <v>315766.77</v>
      </c>
      <c r="C13" s="2">
        <f t="shared" si="0"/>
        <v>13.459878329562033</v>
      </c>
      <c r="D13" s="2">
        <f t="shared" si="1"/>
        <v>13.646841553439486</v>
      </c>
    </row>
    <row r="14" spans="1:4" x14ac:dyDescent="0.3">
      <c r="A14" t="s">
        <v>13</v>
      </c>
      <c r="B14" s="2">
        <v>198406.29405500001</v>
      </c>
      <c r="C14" s="2">
        <f t="shared" si="0"/>
        <v>8.4572691984011072</v>
      </c>
      <c r="D14" s="2">
        <f t="shared" si="1"/>
        <v>8.5747441321127855</v>
      </c>
    </row>
    <row r="15" spans="1:4" x14ac:dyDescent="0.3">
      <c r="A15" t="s">
        <v>14</v>
      </c>
      <c r="B15" s="2">
        <v>637064.99790199997</v>
      </c>
      <c r="C15" s="2">
        <f t="shared" si="0"/>
        <v>27.155540653576722</v>
      </c>
      <c r="D15" s="2">
        <f t="shared" si="1"/>
        <v>27.532742237604204</v>
      </c>
    </row>
    <row r="16" spans="1:4" x14ac:dyDescent="0.3">
      <c r="A16" t="s">
        <v>15</v>
      </c>
      <c r="B16" s="2">
        <v>542056.134051</v>
      </c>
      <c r="C16" s="2">
        <f t="shared" si="0"/>
        <v>23.105691622076719</v>
      </c>
      <c r="D16" s="2">
        <f t="shared" si="1"/>
        <v>23.42663914402377</v>
      </c>
    </row>
    <row r="17" spans="1:4" x14ac:dyDescent="0.3">
      <c r="A17" t="s">
        <v>16</v>
      </c>
      <c r="B17" s="2">
        <v>23114.406999999999</v>
      </c>
      <c r="C17" s="2">
        <f t="shared" si="0"/>
        <v>0.98527500496640907</v>
      </c>
      <c r="D17" s="2">
        <f t="shared" si="1"/>
        <v>0.99896087840627601</v>
      </c>
    </row>
    <row r="18" spans="1:4" x14ac:dyDescent="0.3">
      <c r="A18" t="s">
        <v>17</v>
      </c>
      <c r="B18" s="2">
        <v>12159.72</v>
      </c>
      <c r="C18" s="2">
        <f t="shared" si="0"/>
        <v>0.51832037842849021</v>
      </c>
      <c r="D18" s="2">
        <f t="shared" si="1"/>
        <v>0.52552006081637148</v>
      </c>
    </row>
    <row r="19" spans="1:4" x14ac:dyDescent="0.3">
      <c r="A19" t="s">
        <v>18</v>
      </c>
      <c r="B19" s="2">
        <v>116857</v>
      </c>
      <c r="C19" s="2">
        <f t="shared" si="0"/>
        <v>4.9811479591650203</v>
      </c>
      <c r="D19" s="2">
        <f t="shared" si="1"/>
        <v>5.0503381448601381</v>
      </c>
    </row>
    <row r="20" spans="1:4" x14ac:dyDescent="0.3">
      <c r="B20" s="2"/>
    </row>
    <row r="21" spans="1:4" x14ac:dyDescent="0.3">
      <c r="B21" s="2">
        <f>SUM(B2:B19)</f>
        <v>6451459.636101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Advay Somani</dc:creator>
  <cp:lastModifiedBy>Advay Somani</cp:lastModifiedBy>
  <dcterms:created xsi:type="dcterms:W3CDTF">2026-01-31T05:16:38Z</dcterms:created>
  <dcterms:modified xsi:type="dcterms:W3CDTF">2026-01-31T05:40:39Z</dcterms:modified>
</cp:coreProperties>
</file>